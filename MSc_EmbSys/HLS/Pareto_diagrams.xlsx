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Documents/Master in Industrial Electronics/High Level Description of Systems/Project/"/>
    </mc:Choice>
  </mc:AlternateContent>
  <xr:revisionPtr revIDLastSave="0" documentId="13_ncr:1_{6B85BAFB-A3A6-4746-9521-8282E3726D2A}" xr6:coauthVersionLast="47" xr6:coauthVersionMax="47" xr10:uidLastSave="{00000000-0000-0000-0000-000000000000}"/>
  <bookViews>
    <workbookView xWindow="0" yWindow="0" windowWidth="28800" windowHeight="18000" xr2:uid="{3348B6B3-05D5-D041-AF31-180C4FAC26F2}"/>
  </bookViews>
  <sheets>
    <sheet name="Hoja1" sheetId="1" r:id="rId1"/>
  </sheets>
  <definedNames>
    <definedName name="_xlchart.v1.0" hidden="1">Hoja1!$C$8:$C$10</definedName>
    <definedName name="_xlchart.v1.1" hidden="1">Hoja1!$D$8:$D$10</definedName>
    <definedName name="_xlchart.v1.2" hidden="1">Hoja1!$C$8:$C$10</definedName>
    <definedName name="_xlchart.v1.3" hidden="1">Hoja1!$E$8:$E$10</definedName>
    <definedName name="_xlchart.v1.4" hidden="1">Hoja1!$C$8:$C$10</definedName>
    <definedName name="_xlchart.v1.5" hidden="1">Hoja1!$D$8:$D$10</definedName>
    <definedName name="_xlchart.v1.6" hidden="1">Hoja1!$C$8:$C$10</definedName>
    <definedName name="_xlchart.v1.7" hidden="1">Hoja1!$D$8:$D$10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G10" i="1"/>
  <c r="G9" i="1"/>
  <c r="G8" i="1"/>
</calcChain>
</file>

<file path=xl/sharedStrings.xml><?xml version="1.0" encoding="utf-8"?>
<sst xmlns="http://schemas.openxmlformats.org/spreadsheetml/2006/main" count="93" uniqueCount="20">
  <si>
    <t>Standard</t>
  </si>
  <si>
    <t>Solution1</t>
  </si>
  <si>
    <t>Pixels_splited1</t>
  </si>
  <si>
    <t>Pixels_splited2</t>
  </si>
  <si>
    <t>Improvement #1</t>
  </si>
  <si>
    <t>Local Binary Pattern Features</t>
  </si>
  <si>
    <t>BRAMs</t>
  </si>
  <si>
    <t>FFs</t>
  </si>
  <si>
    <t>DSPs</t>
  </si>
  <si>
    <t>LUTs</t>
  </si>
  <si>
    <t>Disponibilidad</t>
  </si>
  <si>
    <t>Latency</t>
  </si>
  <si>
    <t>Improvement #2</t>
  </si>
  <si>
    <t>System Vectoring Machine</t>
  </si>
  <si>
    <t>More&amp;More</t>
  </si>
  <si>
    <t>Solution2</t>
  </si>
  <si>
    <t>En procentajes</t>
  </si>
  <si>
    <t>Local Binary
 Pattern Features</t>
  </si>
  <si>
    <t>System  Vectoring
 Machine</t>
  </si>
  <si>
    <t>NUEVA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</si>
</sst>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3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LBP - STANDARD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FFs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Hoja1!$C$8:$C$10</c:f>
              <c:numCache>
                <c:formatCode>General</c:formatCode>
                <c:ptCount val="3"/>
                <c:pt idx="0">
                  <c:v>80299</c:v>
                </c:pt>
                <c:pt idx="1">
                  <c:v>49548</c:v>
                </c:pt>
                <c:pt idx="2">
                  <c:v>33672</c:v>
                </c:pt>
              </c:numCache>
            </c:numRef>
          </c:xVal>
          <c:yVal>
            <c:numRef>
              <c:f>Hoja1!$D$8:$D$10</c:f>
              <c:numCache>
                <c:formatCode>General</c:formatCode>
                <c:ptCount val="3"/>
                <c:pt idx="0">
                  <c:v>944</c:v>
                </c:pt>
                <c:pt idx="1">
                  <c:v>952</c:v>
                </c:pt>
                <c:pt idx="2">
                  <c:v>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D2-1246-AB4E-C3FC73438C1C}"/>
            </c:ext>
          </c:extLst>
        </c:ser>
        <c:ser>
          <c:idx val="1"/>
          <c:order val="1"/>
          <c:tx>
            <c:v>LUTs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Hoja1!$C$8:$C$10</c:f>
              <c:numCache>
                <c:formatCode>General</c:formatCode>
                <c:ptCount val="3"/>
                <c:pt idx="0">
                  <c:v>80299</c:v>
                </c:pt>
                <c:pt idx="1">
                  <c:v>49548</c:v>
                </c:pt>
                <c:pt idx="2">
                  <c:v>33672</c:v>
                </c:pt>
              </c:numCache>
            </c:numRef>
          </c:xVal>
          <c:yVal>
            <c:numRef>
              <c:f>Hoja1!$E$8:$E$10</c:f>
              <c:numCache>
                <c:formatCode>General</c:formatCode>
                <c:ptCount val="3"/>
                <c:pt idx="0">
                  <c:v>1288</c:v>
                </c:pt>
                <c:pt idx="1">
                  <c:v>1392</c:v>
                </c:pt>
                <c:pt idx="2">
                  <c:v>1656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2-1246-AB4E-C3FC73438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90624"/>
        <c:axId val="544029248"/>
      </c:scatterChart>
      <c:valAx>
        <c:axId val="310190624"/>
        <c:scaling>
          <c:orientation val="minMax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4029248"/>
        <c:crosses val="autoZero"/>
        <c:crossBetween val="midCat"/>
      </c:valAx>
      <c:valAx>
        <c:axId val="544029248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Resources (Cost)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1019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LBP - Improvement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FFs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Hoja1!$C$13:$C$15</c:f>
              <c:numCache>
                <c:formatCode>General</c:formatCode>
                <c:ptCount val="3"/>
                <c:pt idx="0">
                  <c:v>71609</c:v>
                </c:pt>
                <c:pt idx="1">
                  <c:v>43385</c:v>
                </c:pt>
                <c:pt idx="2">
                  <c:v>29273</c:v>
                </c:pt>
              </c:numCache>
            </c:numRef>
          </c:xVal>
          <c:yVal>
            <c:numRef>
              <c:f>Hoja1!$D$13:$D$15</c:f>
              <c:numCache>
                <c:formatCode>General</c:formatCode>
                <c:ptCount val="3"/>
                <c:pt idx="0">
                  <c:v>1620</c:v>
                </c:pt>
                <c:pt idx="1">
                  <c:v>1542</c:v>
                </c:pt>
                <c:pt idx="2">
                  <c:v>1456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AA-A84E-90A6-96AED4A11B5F}"/>
            </c:ext>
          </c:extLst>
        </c:ser>
        <c:ser>
          <c:idx val="1"/>
          <c:order val="1"/>
          <c:tx>
            <c:v>LUTs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Hoja1!$C$13:$C$15</c:f>
              <c:numCache>
                <c:formatCode>General</c:formatCode>
                <c:ptCount val="3"/>
                <c:pt idx="0">
                  <c:v>71609</c:v>
                </c:pt>
                <c:pt idx="1">
                  <c:v>43385</c:v>
                </c:pt>
                <c:pt idx="2">
                  <c:v>29273</c:v>
                </c:pt>
              </c:numCache>
            </c:numRef>
          </c:xVal>
          <c:yVal>
            <c:numRef>
              <c:f>Hoja1!$E$13:$E$15</c:f>
              <c:numCache>
                <c:formatCode>General</c:formatCode>
                <c:ptCount val="3"/>
                <c:pt idx="0">
                  <c:v>2853</c:v>
                </c:pt>
                <c:pt idx="1">
                  <c:v>3135</c:v>
                </c:pt>
                <c:pt idx="2">
                  <c:v>3801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AA-A84E-90A6-96AED4A11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791776"/>
        <c:axId val="294973008"/>
      </c:scatterChart>
      <c:valAx>
        <c:axId val="307791776"/>
        <c:scaling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4973008"/>
        <c:crosses val="autoZero"/>
        <c:crossBetween val="midCat"/>
      </c:valAx>
      <c:valAx>
        <c:axId val="29497300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Resources</a:t>
                </a:r>
                <a:r>
                  <a:rPr lang="es-ES_tradnl" baseline="0"/>
                  <a:t> (cost)</a:t>
                </a:r>
                <a:endParaRPr lang="es-ES_trad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79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LBP - Improvement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FFs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Hoja1!$C$18:$C$19</c:f>
              <c:numCache>
                <c:formatCode>General</c:formatCode>
                <c:ptCount val="2"/>
                <c:pt idx="0">
                  <c:v>42072</c:v>
                </c:pt>
                <c:pt idx="1">
                  <c:v>2010</c:v>
                </c:pt>
              </c:numCache>
            </c:numRef>
          </c:xVal>
          <c:yVal>
            <c:numRef>
              <c:f>Hoja1!$D$18:$D$19</c:f>
              <c:numCache>
                <c:formatCode>General</c:formatCode>
                <c:ptCount val="2"/>
                <c:pt idx="0">
                  <c:v>1992</c:v>
                </c:pt>
                <c:pt idx="1">
                  <c:v>8459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F6-FE4E-B23B-71B31AC09346}"/>
            </c:ext>
          </c:extLst>
        </c:ser>
        <c:ser>
          <c:idx val="1"/>
          <c:order val="1"/>
          <c:tx>
            <c:v>LUTs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Hoja1!$C$18:$C$19</c:f>
              <c:numCache>
                <c:formatCode>General</c:formatCode>
                <c:ptCount val="2"/>
                <c:pt idx="0">
                  <c:v>42072</c:v>
                </c:pt>
                <c:pt idx="1">
                  <c:v>2010</c:v>
                </c:pt>
              </c:numCache>
            </c:numRef>
          </c:xVal>
          <c:yVal>
            <c:numRef>
              <c:f>Hoja1!$E$18:$E$19</c:f>
              <c:numCache>
                <c:formatCode>General</c:formatCode>
                <c:ptCount val="2"/>
                <c:pt idx="0">
                  <c:v>4021</c:v>
                </c:pt>
                <c:pt idx="1">
                  <c:v>55060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F6-FE4E-B23B-71B31AC09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01552"/>
        <c:axId val="295467328"/>
      </c:scatterChart>
      <c:valAx>
        <c:axId val="6378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5467328"/>
        <c:crosses val="autoZero"/>
        <c:crossBetween val="midCat"/>
      </c:valAx>
      <c:valAx>
        <c:axId val="2954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Resources (Cost)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80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System Vectoring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FFs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Hoja1!$C$25:$C$26</c:f>
              <c:numCache>
                <c:formatCode>General</c:formatCode>
                <c:ptCount val="2"/>
                <c:pt idx="0">
                  <c:v>6312</c:v>
                </c:pt>
                <c:pt idx="1">
                  <c:v>1653</c:v>
                </c:pt>
              </c:numCache>
            </c:numRef>
          </c:xVal>
          <c:yVal>
            <c:numRef>
              <c:f>Hoja1!$D$25:$D$26</c:f>
              <c:numCache>
                <c:formatCode>General</c:formatCode>
                <c:ptCount val="2"/>
                <c:pt idx="0">
                  <c:v>7300</c:v>
                </c:pt>
                <c:pt idx="1">
                  <c:v>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EB-A844-8D50-B8CFDD6A173A}"/>
            </c:ext>
          </c:extLst>
        </c:ser>
        <c:ser>
          <c:idx val="1"/>
          <c:order val="1"/>
          <c:tx>
            <c:v>LUTs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Hoja1!$C$25:$C$26</c:f>
              <c:numCache>
                <c:formatCode>General</c:formatCode>
                <c:ptCount val="2"/>
                <c:pt idx="0">
                  <c:v>6312</c:v>
                </c:pt>
                <c:pt idx="1">
                  <c:v>1653</c:v>
                </c:pt>
              </c:numCache>
            </c:numRef>
          </c:xVal>
          <c:yVal>
            <c:numRef>
              <c:f>Hoja1!$E$25:$E$26</c:f>
              <c:numCache>
                <c:formatCode>General</c:formatCode>
                <c:ptCount val="2"/>
                <c:pt idx="0">
                  <c:v>4163</c:v>
                </c:pt>
                <c:pt idx="1">
                  <c:v>7196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EB-A844-8D50-B8CFDD6A1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32096"/>
        <c:axId val="604019664"/>
      </c:scatterChart>
      <c:valAx>
        <c:axId val="2035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4019664"/>
        <c:crosses val="autoZero"/>
        <c:crossBetween val="midCat"/>
      </c:valAx>
      <c:valAx>
        <c:axId val="604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Resources (Cost)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53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11</xdr:row>
      <xdr:rowOff>31750</xdr:rowOff>
    </xdr:from>
    <xdr:to>
      <xdr:col>11</xdr:col>
      <xdr:colOff>419100</xdr:colOff>
      <xdr:row>24</xdr:row>
      <xdr:rowOff>82550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53AE8E5-F986-457A-838D-63F7F2734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10975</xdr:colOff>
      <xdr:row>25</xdr:row>
      <xdr:rowOff>172782</xdr:rowOff>
    </xdr:from>
    <xdr:to>
      <xdr:col>11</xdr:col>
      <xdr:colOff>396679</xdr:colOff>
      <xdr:row>39</xdr:row>
      <xdr:rowOff>46723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6A3CEFC-30EF-5116-E4DC-336FD2D2E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10974</xdr:colOff>
      <xdr:row>41</xdr:row>
      <xdr:rowOff>313</xdr:rowOff>
    </xdr:from>
    <xdr:to>
      <xdr:col>11</xdr:col>
      <xdr:colOff>396678</xdr:colOff>
      <xdr:row>54</xdr:row>
      <xdr:rowOff>93760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C947B0E2-D746-AE09-39E5-F692AA280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8466</xdr:colOff>
      <xdr:row>11</xdr:row>
      <xdr:rowOff>33867</xdr:rowOff>
    </xdr:from>
    <xdr:to>
      <xdr:col>17</xdr:col>
      <xdr:colOff>431800</xdr:colOff>
      <xdr:row>24</xdr:row>
      <xdr:rowOff>67734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BD288AE7-6146-C44D-1F1E-D8D3ACDA4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8C9E-325A-3F44-8493-D9CDF3B3B7FE}">
  <dimension ref="A2:X34"/>
  <sheetViews>
    <sheetView tabSelected="1" zoomScale="62" workbookViewId="0">
      <selection activeCell="AD23" sqref="AD23"/>
    </sheetView>
  </sheetViews>
  <sheetFormatPr baseColWidth="10" defaultRowHeight="16" x14ac:dyDescent="0.2"/>
  <cols>
    <col min="1" max="1" width="30.83203125" customWidth="1"/>
    <col min="2" max="2" width="21.5" customWidth="1"/>
    <col min="7" max="7" width="11.33203125" bestFit="1" customWidth="1"/>
    <col min="20" max="20" width="19" customWidth="1"/>
    <col min="21" max="21" width="16.1640625" customWidth="1"/>
  </cols>
  <sheetData>
    <row r="2" spans="1:24" x14ac:dyDescent="0.2">
      <c r="A2" s="28" t="s">
        <v>10</v>
      </c>
      <c r="B2" s="1" t="s">
        <v>6</v>
      </c>
      <c r="C2" s="1" t="s">
        <v>7</v>
      </c>
      <c r="D2" s="1" t="s">
        <v>9</v>
      </c>
      <c r="E2" s="1" t="s">
        <v>8</v>
      </c>
      <c r="T2" s="28" t="s">
        <v>10</v>
      </c>
      <c r="U2" s="1" t="s">
        <v>6</v>
      </c>
      <c r="V2" s="1" t="s">
        <v>7</v>
      </c>
      <c r="W2" s="1" t="s">
        <v>9</v>
      </c>
      <c r="X2" s="1" t="s">
        <v>8</v>
      </c>
    </row>
    <row r="3" spans="1:24" x14ac:dyDescent="0.2">
      <c r="A3" s="28"/>
      <c r="B3" s="1">
        <v>140</v>
      </c>
      <c r="C3" s="1">
        <v>53200</v>
      </c>
      <c r="D3" s="1">
        <v>106400</v>
      </c>
      <c r="E3" s="1">
        <v>220</v>
      </c>
      <c r="T3" s="28"/>
      <c r="U3" s="1">
        <v>140</v>
      </c>
      <c r="V3" s="1">
        <v>53200</v>
      </c>
      <c r="W3" s="1">
        <v>106400</v>
      </c>
      <c r="X3" s="1">
        <v>220</v>
      </c>
    </row>
    <row r="4" spans="1:24" x14ac:dyDescent="0.2">
      <c r="T4" s="3"/>
      <c r="U4" s="3"/>
      <c r="V4" s="3"/>
      <c r="W4" s="3"/>
      <c r="X4" s="3"/>
    </row>
    <row r="5" spans="1:24" x14ac:dyDescent="0.2">
      <c r="G5" s="27" t="s">
        <v>16</v>
      </c>
      <c r="H5" s="27"/>
      <c r="T5" s="3"/>
      <c r="U5" s="3"/>
      <c r="V5" s="3"/>
      <c r="W5" s="3"/>
      <c r="X5" s="3"/>
    </row>
    <row r="6" spans="1:24" ht="17" thickBot="1" x14ac:dyDescent="0.25">
      <c r="G6" s="27"/>
      <c r="H6" s="27"/>
      <c r="T6" s="3"/>
      <c r="U6" s="3"/>
      <c r="V6" s="3"/>
      <c r="W6" s="3"/>
      <c r="X6" s="3"/>
    </row>
    <row r="7" spans="1:24" ht="16" customHeight="1" x14ac:dyDescent="0.2">
      <c r="A7" s="6" t="s">
        <v>5</v>
      </c>
      <c r="B7" s="16" t="s">
        <v>0</v>
      </c>
      <c r="C7" s="17" t="s">
        <v>11</v>
      </c>
      <c r="D7" s="17" t="s">
        <v>7</v>
      </c>
      <c r="E7" s="17" t="s">
        <v>9</v>
      </c>
      <c r="G7" s="17" t="s">
        <v>7</v>
      </c>
      <c r="H7" s="17" t="s">
        <v>9</v>
      </c>
      <c r="T7" s="29" t="s">
        <v>17</v>
      </c>
      <c r="U7" s="21" t="s">
        <v>0</v>
      </c>
      <c r="V7" s="17" t="s">
        <v>11</v>
      </c>
      <c r="W7" s="17" t="s">
        <v>7</v>
      </c>
      <c r="X7" s="17" t="s">
        <v>9</v>
      </c>
    </row>
    <row r="8" spans="1:24" x14ac:dyDescent="0.2">
      <c r="A8" s="7"/>
      <c r="B8" s="17" t="s">
        <v>1</v>
      </c>
      <c r="C8" s="18">
        <v>80299</v>
      </c>
      <c r="D8" s="18">
        <v>944</v>
      </c>
      <c r="E8" s="18">
        <v>1288</v>
      </c>
      <c r="G8">
        <f>100*D8/C3</f>
        <v>1.7744360902255638</v>
      </c>
      <c r="H8">
        <f>100*E8/D3</f>
        <v>1.2105263157894737</v>
      </c>
      <c r="T8" s="29"/>
      <c r="U8" s="17" t="s">
        <v>1</v>
      </c>
      <c r="V8" s="18">
        <v>80299</v>
      </c>
      <c r="W8" s="18">
        <v>944</v>
      </c>
      <c r="X8" s="18">
        <v>1288</v>
      </c>
    </row>
    <row r="9" spans="1:24" x14ac:dyDescent="0.2">
      <c r="A9" s="7"/>
      <c r="B9" s="17" t="s">
        <v>2</v>
      </c>
      <c r="C9" s="18">
        <v>49548</v>
      </c>
      <c r="D9" s="18">
        <v>952</v>
      </c>
      <c r="E9" s="18">
        <v>1392</v>
      </c>
      <c r="G9">
        <f>100*D9/C3</f>
        <v>1.7894736842105263</v>
      </c>
      <c r="H9">
        <f>100*E9/D3</f>
        <v>1.3082706766917294</v>
      </c>
      <c r="T9" s="29"/>
      <c r="U9" s="32" t="s">
        <v>19</v>
      </c>
      <c r="V9" s="32" t="s">
        <v>19</v>
      </c>
      <c r="W9" s="32" t="s">
        <v>19</v>
      </c>
      <c r="X9" s="32" t="s">
        <v>19</v>
      </c>
    </row>
    <row r="10" spans="1:24" ht="17" thickBot="1" x14ac:dyDescent="0.25">
      <c r="A10" s="7"/>
      <c r="B10" s="19" t="s">
        <v>3</v>
      </c>
      <c r="C10" s="18">
        <v>33672</v>
      </c>
      <c r="D10" s="18">
        <v>907</v>
      </c>
      <c r="E10" s="18">
        <v>1656</v>
      </c>
      <c r="G10">
        <f>100*D10/C3</f>
        <v>1.7048872180451127</v>
      </c>
      <c r="H10">
        <f>100*E10/D3</f>
        <v>1.5563909774436091</v>
      </c>
      <c r="T10" s="29"/>
      <c r="U10" s="17" t="s">
        <v>2</v>
      </c>
      <c r="V10" s="18">
        <v>49548</v>
      </c>
      <c r="W10" s="18">
        <v>952</v>
      </c>
      <c r="X10" s="18">
        <v>1392</v>
      </c>
    </row>
    <row r="11" spans="1:24" ht="17" thickBot="1" x14ac:dyDescent="0.25">
      <c r="A11" s="7"/>
      <c r="B11" s="18"/>
      <c r="C11" s="18"/>
      <c r="D11" s="18"/>
      <c r="E11" s="18"/>
      <c r="T11" s="29"/>
      <c r="U11" s="32" t="s">
        <v>19</v>
      </c>
      <c r="V11" s="32" t="s">
        <v>19</v>
      </c>
      <c r="W11" s="32" t="s">
        <v>19</v>
      </c>
      <c r="X11" s="32" t="s">
        <v>19</v>
      </c>
    </row>
    <row r="12" spans="1:24" x14ac:dyDescent="0.2">
      <c r="A12" s="7"/>
      <c r="B12" s="16" t="s">
        <v>4</v>
      </c>
      <c r="C12" s="17" t="s">
        <v>11</v>
      </c>
      <c r="D12" s="17" t="s">
        <v>7</v>
      </c>
      <c r="E12" s="17" t="s">
        <v>9</v>
      </c>
      <c r="T12" s="29"/>
      <c r="U12" s="17" t="s">
        <v>3</v>
      </c>
      <c r="V12" s="18">
        <v>33672</v>
      </c>
      <c r="W12" s="18">
        <v>907</v>
      </c>
      <c r="X12" s="18">
        <v>1656</v>
      </c>
    </row>
    <row r="13" spans="1:24" x14ac:dyDescent="0.2">
      <c r="A13" s="7"/>
      <c r="B13" s="17" t="s">
        <v>1</v>
      </c>
      <c r="C13" s="18">
        <v>71609</v>
      </c>
      <c r="D13" s="18">
        <v>1620</v>
      </c>
      <c r="E13" s="18">
        <v>2853</v>
      </c>
      <c r="T13" s="29"/>
      <c r="U13" s="18"/>
      <c r="V13" s="18"/>
      <c r="W13" s="18"/>
      <c r="X13" s="18"/>
    </row>
    <row r="14" spans="1:24" x14ac:dyDescent="0.2">
      <c r="A14" s="7"/>
      <c r="B14" s="17" t="s">
        <v>2</v>
      </c>
      <c r="C14" s="18">
        <v>43385</v>
      </c>
      <c r="D14" s="18">
        <v>1542</v>
      </c>
      <c r="E14" s="18">
        <v>3135</v>
      </c>
      <c r="T14" s="29"/>
      <c r="U14" s="21" t="s">
        <v>4</v>
      </c>
      <c r="V14" s="17" t="s">
        <v>11</v>
      </c>
      <c r="W14" s="17" t="s">
        <v>7</v>
      </c>
      <c r="X14" s="17" t="s">
        <v>9</v>
      </c>
    </row>
    <row r="15" spans="1:24" ht="17" thickBot="1" x14ac:dyDescent="0.25">
      <c r="A15" s="7"/>
      <c r="B15" s="17" t="s">
        <v>3</v>
      </c>
      <c r="C15" s="18">
        <v>29273</v>
      </c>
      <c r="D15" s="18">
        <v>1456</v>
      </c>
      <c r="E15" s="18">
        <v>3801</v>
      </c>
      <c r="T15" s="29"/>
      <c r="U15" s="17" t="s">
        <v>1</v>
      </c>
      <c r="V15" s="18">
        <v>71609</v>
      </c>
      <c r="W15" s="18">
        <v>1620</v>
      </c>
      <c r="X15" s="18">
        <v>2853</v>
      </c>
    </row>
    <row r="16" spans="1:24" ht="17" thickBot="1" x14ac:dyDescent="0.25">
      <c r="A16" s="4"/>
      <c r="B16" s="20"/>
      <c r="C16" s="18"/>
      <c r="D16" s="18"/>
      <c r="E16" s="18"/>
      <c r="T16" s="29"/>
      <c r="U16" s="32" t="s">
        <v>19</v>
      </c>
      <c r="V16" s="32" t="s">
        <v>19</v>
      </c>
      <c r="W16" s="32" t="s">
        <v>19</v>
      </c>
      <c r="X16" s="32" t="s">
        <v>19</v>
      </c>
    </row>
    <row r="17" spans="1:24" x14ac:dyDescent="0.2">
      <c r="A17" s="7"/>
      <c r="B17" s="21" t="s">
        <v>12</v>
      </c>
      <c r="C17" s="17" t="s">
        <v>11</v>
      </c>
      <c r="D17" s="17" t="s">
        <v>7</v>
      </c>
      <c r="E17" s="17" t="s">
        <v>9</v>
      </c>
      <c r="T17" s="29"/>
      <c r="U17" s="17" t="s">
        <v>2</v>
      </c>
      <c r="V17" s="18">
        <v>43385</v>
      </c>
      <c r="W17" s="18">
        <v>1542</v>
      </c>
      <c r="X17" s="18">
        <v>3135</v>
      </c>
    </row>
    <row r="18" spans="1:24" x14ac:dyDescent="0.2">
      <c r="A18" s="7"/>
      <c r="B18" s="17" t="s">
        <v>1</v>
      </c>
      <c r="C18" s="18">
        <v>42072</v>
      </c>
      <c r="D18" s="18">
        <v>1992</v>
      </c>
      <c r="E18" s="18">
        <v>4021</v>
      </c>
      <c r="T18" s="29"/>
      <c r="U18" s="32" t="s">
        <v>19</v>
      </c>
      <c r="V18" s="32" t="s">
        <v>19</v>
      </c>
      <c r="W18" s="32" t="s">
        <v>19</v>
      </c>
      <c r="X18" s="32" t="s">
        <v>19</v>
      </c>
    </row>
    <row r="19" spans="1:24" x14ac:dyDescent="0.2">
      <c r="A19" s="7"/>
      <c r="B19" s="17" t="s">
        <v>14</v>
      </c>
      <c r="C19" s="18">
        <v>2010</v>
      </c>
      <c r="D19" s="18">
        <v>8459</v>
      </c>
      <c r="E19" s="18">
        <v>55060</v>
      </c>
      <c r="T19" s="29"/>
      <c r="U19" s="17" t="s">
        <v>3</v>
      </c>
      <c r="V19" s="18">
        <v>29273</v>
      </c>
      <c r="W19" s="18">
        <v>1456</v>
      </c>
      <c r="X19" s="18">
        <v>3801</v>
      </c>
    </row>
    <row r="20" spans="1:24" ht="17" thickBot="1" x14ac:dyDescent="0.25">
      <c r="A20" s="8"/>
      <c r="B20" s="5"/>
      <c r="C20" s="3"/>
      <c r="D20" s="3"/>
      <c r="E20" s="3"/>
      <c r="T20" s="29"/>
      <c r="U20" s="18"/>
      <c r="V20" s="18"/>
      <c r="W20" s="18"/>
      <c r="X20" s="18"/>
    </row>
    <row r="21" spans="1:24" x14ac:dyDescent="0.2">
      <c r="T21" s="29"/>
      <c r="U21" s="21" t="s">
        <v>12</v>
      </c>
      <c r="V21" s="17" t="s">
        <v>11</v>
      </c>
      <c r="W21" s="17" t="s">
        <v>7</v>
      </c>
      <c r="X21" s="17" t="s">
        <v>9</v>
      </c>
    </row>
    <row r="22" spans="1:24" x14ac:dyDescent="0.2">
      <c r="T22" s="29"/>
      <c r="U22" s="17" t="s">
        <v>1</v>
      </c>
      <c r="V22" s="18">
        <v>42072</v>
      </c>
      <c r="W22" s="18">
        <v>1992</v>
      </c>
      <c r="X22" s="18">
        <v>4021</v>
      </c>
    </row>
    <row r="23" spans="1:24" ht="17" thickBot="1" x14ac:dyDescent="0.25">
      <c r="T23" s="29"/>
      <c r="U23" s="32" t="s">
        <v>19</v>
      </c>
      <c r="V23" s="32" t="s">
        <v>19</v>
      </c>
      <c r="W23" s="32" t="s">
        <v>19</v>
      </c>
      <c r="X23" s="32" t="s">
        <v>19</v>
      </c>
    </row>
    <row r="24" spans="1:24" x14ac:dyDescent="0.2">
      <c r="A24" s="9" t="s">
        <v>13</v>
      </c>
      <c r="B24" s="12" t="s">
        <v>0</v>
      </c>
      <c r="C24" s="13" t="s">
        <v>11</v>
      </c>
      <c r="D24" s="13" t="s">
        <v>7</v>
      </c>
      <c r="E24" s="14" t="s">
        <v>9</v>
      </c>
      <c r="T24" s="29"/>
      <c r="U24" s="17" t="s">
        <v>14</v>
      </c>
      <c r="V24" s="18">
        <v>2010</v>
      </c>
      <c r="W24" s="18">
        <v>8459</v>
      </c>
      <c r="X24" s="18">
        <v>55060</v>
      </c>
    </row>
    <row r="25" spans="1:24" x14ac:dyDescent="0.2">
      <c r="A25" s="10"/>
      <c r="B25" s="22" t="s">
        <v>1</v>
      </c>
      <c r="C25" s="18">
        <v>6312</v>
      </c>
      <c r="D25" s="18">
        <v>7300</v>
      </c>
      <c r="E25" s="23">
        <v>4163</v>
      </c>
      <c r="U25" s="3"/>
      <c r="V25" s="3"/>
      <c r="W25" s="3"/>
      <c r="X25" s="3"/>
    </row>
    <row r="26" spans="1:24" ht="17" thickBot="1" x14ac:dyDescent="0.25">
      <c r="A26" s="11"/>
      <c r="B26" s="24" t="s">
        <v>15</v>
      </c>
      <c r="C26" s="25">
        <v>1653</v>
      </c>
      <c r="D26" s="25">
        <v>9987</v>
      </c>
      <c r="E26" s="26">
        <v>7196</v>
      </c>
      <c r="U26" s="3"/>
      <c r="V26" s="3"/>
      <c r="W26" s="3"/>
      <c r="X26" s="3"/>
    </row>
    <row r="27" spans="1:24" x14ac:dyDescent="0.2">
      <c r="B27" s="2"/>
      <c r="C27" s="2"/>
      <c r="D27" s="2"/>
      <c r="E27" s="2"/>
      <c r="T27" s="3"/>
      <c r="U27" s="3"/>
      <c r="V27" s="3"/>
      <c r="W27" s="3"/>
      <c r="X27" s="3"/>
    </row>
    <row r="28" spans="1:24" x14ac:dyDescent="0.2">
      <c r="B28" s="2"/>
      <c r="C28" s="2"/>
      <c r="D28" s="2"/>
      <c r="E28" s="2"/>
      <c r="T28" s="30" t="s">
        <v>18</v>
      </c>
      <c r="U28" s="31" t="s">
        <v>0</v>
      </c>
      <c r="V28" s="15" t="s">
        <v>11</v>
      </c>
      <c r="W28" s="15" t="s">
        <v>7</v>
      </c>
      <c r="X28" s="15" t="s">
        <v>9</v>
      </c>
    </row>
    <row r="29" spans="1:24" ht="16" customHeight="1" x14ac:dyDescent="0.2">
      <c r="B29" s="2"/>
      <c r="C29" s="2"/>
      <c r="D29" s="2"/>
      <c r="E29" s="2"/>
      <c r="T29" s="30"/>
      <c r="U29" s="22" t="s">
        <v>1</v>
      </c>
      <c r="V29" s="18">
        <v>6312</v>
      </c>
      <c r="W29" s="18">
        <v>7300</v>
      </c>
      <c r="X29" s="18">
        <v>4163</v>
      </c>
    </row>
    <row r="30" spans="1:24" x14ac:dyDescent="0.2">
      <c r="B30" s="2"/>
      <c r="C30" s="2"/>
      <c r="D30" s="2"/>
      <c r="E30" s="2"/>
      <c r="T30" s="30"/>
      <c r="U30" s="32" t="s">
        <v>19</v>
      </c>
      <c r="V30" s="32" t="s">
        <v>19</v>
      </c>
      <c r="W30" s="32" t="s">
        <v>19</v>
      </c>
      <c r="X30" s="32" t="s">
        <v>19</v>
      </c>
    </row>
    <row r="31" spans="1:24" x14ac:dyDescent="0.2">
      <c r="B31" s="2"/>
      <c r="C31" s="2"/>
      <c r="D31" s="2"/>
      <c r="E31" s="2"/>
      <c r="T31" s="30"/>
      <c r="U31" s="22" t="s">
        <v>15</v>
      </c>
      <c r="V31" s="18">
        <v>1653</v>
      </c>
      <c r="W31" s="18">
        <v>9987</v>
      </c>
      <c r="X31" s="18">
        <v>7196</v>
      </c>
    </row>
    <row r="32" spans="1:24" x14ac:dyDescent="0.2">
      <c r="B32" s="2"/>
      <c r="C32" s="2"/>
      <c r="D32" s="2"/>
      <c r="E32" s="2"/>
      <c r="U32" s="2"/>
      <c r="V32" s="2"/>
      <c r="W32" s="2"/>
      <c r="X32" s="2"/>
    </row>
    <row r="33" spans="2:2" x14ac:dyDescent="0.2">
      <c r="B33" s="1"/>
    </row>
    <row r="34" spans="2:2" x14ac:dyDescent="0.2">
      <c r="B34" s="1"/>
    </row>
  </sheetData>
  <mergeCells count="7">
    <mergeCell ref="T2:T3"/>
    <mergeCell ref="T28:T31"/>
    <mergeCell ref="T7:T24"/>
    <mergeCell ref="A7:A20"/>
    <mergeCell ref="A2:A3"/>
    <mergeCell ref="A24:A26"/>
    <mergeCell ref="G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PRoPosit Bio</dc:creator>
  <cp:lastModifiedBy>PRoPosit Bio</cp:lastModifiedBy>
  <dcterms:created xsi:type="dcterms:W3CDTF">2024-06-08T14:47:34Z</dcterms:created>
  <dcterms:modified xsi:type="dcterms:W3CDTF">2024-06-08T17:21:48Z</dcterms:modified>
</cp:coreProperties>
</file>